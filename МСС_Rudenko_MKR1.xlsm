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75" windowWidth="28755" windowHeight="12600"/>
  </bookViews>
  <sheets>
    <sheet name="1 рода " sheetId="1" r:id="rId1"/>
    <sheet name="2 рода" sheetId="2" r:id="rId2"/>
    <sheet name="Лист3" sheetId="3" r:id="rId3"/>
  </sheets>
  <externalReferences>
    <externalReference r:id="rId4"/>
    <externalReference r:id="rId5"/>
  </externalReferences>
  <calcPr calcId="125725"/>
</workbook>
</file>

<file path=xl/calcChain.xml><?xml version="1.0" encoding="utf-8"?>
<calcChain xmlns="http://schemas.openxmlformats.org/spreadsheetml/2006/main">
  <c r="M12" i="2"/>
  <c r="N12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AJ13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I12"/>
  <c r="J12"/>
  <c r="K12" s="1"/>
  <c r="L12" s="1"/>
  <c r="I15"/>
  <c r="J15"/>
  <c r="K15"/>
  <c r="I16"/>
  <c r="J16"/>
  <c r="K16"/>
  <c r="L16"/>
  <c r="C4"/>
  <c r="C5"/>
  <c r="F16"/>
  <c r="F13" s="1"/>
  <c r="H16"/>
  <c r="AJ13" i="1"/>
  <c r="F13"/>
  <c r="C5"/>
  <c r="AE15" s="1"/>
  <c r="C4"/>
  <c r="G12" s="1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L15" i="2" l="1"/>
  <c r="G12"/>
  <c r="H12" s="1"/>
  <c r="H15"/>
  <c r="G15"/>
  <c r="G16"/>
  <c r="N15" i="1"/>
  <c r="V15"/>
  <c r="AD15"/>
  <c r="M15"/>
  <c r="U15"/>
  <c r="AC15"/>
  <c r="L15"/>
  <c r="T15"/>
  <c r="AB15"/>
  <c r="K15"/>
  <c r="S15"/>
  <c r="AA15"/>
  <c r="AI15"/>
  <c r="J15"/>
  <c r="R15"/>
  <c r="Z15"/>
  <c r="AH15"/>
  <c r="I15"/>
  <c r="Q15"/>
  <c r="Y15"/>
  <c r="AG15"/>
  <c r="H15"/>
  <c r="P15"/>
  <c r="X15"/>
  <c r="AF15"/>
  <c r="G15"/>
  <c r="O15"/>
  <c r="W15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<sst xmlns="http://schemas.openxmlformats.org/spreadsheetml/2006/main" count="25" uniqueCount="13">
  <si>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</si>
  <si>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</si>
  <si>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</si>
  <si>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</si>
  <si>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</si>
  <si>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ro</t>
  </si>
  <si>
    <t>lamda</t>
  </si>
  <si>
    <t>T_start</t>
  </si>
  <si>
    <t>T_end</t>
  </si>
  <si>
    <t>T</t>
  </si>
  <si>
    <t>T_iter</t>
  </si>
  <si>
    <t>q</t>
  </si>
  <si>
    <t>lambda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</si>
</sst>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0"/>
    <numFmt numFmtId="166" formatCode="0.00000"/>
  </numFmts>
  <fonts count="2">
    <font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166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'[1]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291.62254159925021</c:v>
                </c:pt>
                <c:pt idx="2">
                  <c:v>283.28248182349404</c:v>
                </c:pt>
                <c:pt idx="3">
                  <c:v>274.94242204773786</c:v>
                </c:pt>
                <c:pt idx="4">
                  <c:v>266.71292127510145</c:v>
                </c:pt>
                <c:pt idx="5">
                  <c:v>258.48342050246504</c:v>
                </c:pt>
                <c:pt idx="6">
                  <c:v>250.43280044487551</c:v>
                </c:pt>
                <c:pt idx="7">
                  <c:v>242.38218038728598</c:v>
                </c:pt>
                <c:pt idx="8">
                  <c:v>234.57093492882029</c:v>
                </c:pt>
                <c:pt idx="9">
                  <c:v>226.7596894703546</c:v>
                </c:pt>
                <c:pt idx="10">
                  <c:v>219.23783932797062</c:v>
                </c:pt>
                <c:pt idx="11">
                  <c:v>211.71598918558661</c:v>
                </c:pt>
                <c:pt idx="12">
                  <c:v>204.52089625978249</c:v>
                </c:pt>
                <c:pt idx="13">
                  <c:v>197.32580333397826</c:v>
                </c:pt>
                <c:pt idx="14">
                  <c:v>190.48054018697056</c:v>
                </c:pt>
                <c:pt idx="15">
                  <c:v>183.63527703996272</c:v>
                </c:pt>
                <c:pt idx="16">
                  <c:v>177.14762235277331</c:v>
                </c:pt>
                <c:pt idx="17">
                  <c:v>170.65996766558379</c:v>
                </c:pt>
                <c:pt idx="18">
                  <c:v>164.52207091361547</c:v>
                </c:pt>
                <c:pt idx="19">
                  <c:v>158.38417416164702</c:v>
                </c:pt>
                <c:pt idx="20">
                  <c:v>152.5729033615147</c:v>
                </c:pt>
                <c:pt idx="21">
                  <c:v>146.7616325613823</c:v>
                </c:pt>
                <c:pt idx="22">
                  <c:v>141.23958908828615</c:v>
                </c:pt>
                <c:pt idx="23">
                  <c:v>135.71754561518986</c:v>
                </c:pt>
                <c:pt idx="24">
                  <c:v>130.43470107470233</c:v>
                </c:pt>
                <c:pt idx="25">
                  <c:v>125.15185653421467</c:v>
                </c:pt>
                <c:pt idx="26">
                  <c:v>120.0477397391255</c:v>
                </c:pt>
                <c:pt idx="27">
                  <c:v>114.94362294403626</c:v>
                </c:pt>
                <c:pt idx="28">
                  <c:v>109.94996132912691</c:v>
                </c:pt>
                <c:pt idx="29">
                  <c:v>104.95629971421751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C54-438D-9D5B-7482B5D9440A}"/>
            </c:ext>
          </c:extLst>
        </c:ser>
        <c:axId val="113625344"/>
        <c:axId val="113689344"/>
      </c:scatterChart>
      <c:valAx>
        <c:axId val="113625344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689344"/>
        <c:crosses val="autoZero"/>
        <c:crossBetween val="midCat"/>
      </c:valAx>
      <c:valAx>
        <c:axId val="113689344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62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9.2539253250149431E-2"/>
          <c:y val="5.3686815625368284E-2"/>
          <c:w val="0.86531068197121264"/>
          <c:h val="0.86676963890344594"/>
        </c:manualLayout>
      </c:layout>
      <c:scatterChart>
        <c:scatterStyle val="smoothMarker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[2]Лист1!$F$12:$AJ$12</c:f>
              <c:numCache>
                <c:formatCode>0.00000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[2]Лист1!$F$13:$AJ$13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BC-4B92-9538-CFCBBC851954}"/>
            </c:ext>
          </c:extLst>
        </c:ser>
        <c:axId val="38688640"/>
        <c:axId val="38912768"/>
      </c:scatterChart>
      <c:valAx>
        <c:axId val="38688640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912768"/>
        <c:crosses val="autoZero"/>
        <c:crossBetween val="midCat"/>
      </c:valAx>
      <c:valAx>
        <c:axId val="38912768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8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666751</xdr:colOff>
      <xdr:row>17</xdr:row>
      <xdr:rowOff>130629</xdr:rowOff>
    </xdr:from>
    <xdr:to>
      <xdr:col>26</xdr:col>
      <xdr:colOff>392793</xdr:colOff>
      <xdr:row>47</xdr:row>
      <xdr:rowOff>124279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677637</xdr:colOff>
      <xdr:row>18</xdr:row>
      <xdr:rowOff>22679</xdr:rowOff>
    </xdr:from>
    <xdr:ext cx="558800" cy="279400"/>
    <xdr:sp macro="" textlink="">
      <xdr:nvSpPr>
        <xdr:cNvPr id="6" name="TextBox 5"/>
        <xdr:cNvSpPr txBox="1"/>
      </xdr:nvSpPr>
      <xdr:spPr>
        <a:xfrm>
          <a:off x="8501744" y="3451679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  <xdr:oneCellAnchor>
    <xdr:from>
      <xdr:col>25</xdr:col>
      <xdr:colOff>58057</xdr:colOff>
      <xdr:row>44</xdr:row>
      <xdr:rowOff>1</xdr:rowOff>
    </xdr:from>
    <xdr:ext cx="663122" cy="190499"/>
    <xdr:sp macro="" textlink="">
      <xdr:nvSpPr>
        <xdr:cNvPr id="7" name="TextBox 6"/>
        <xdr:cNvSpPr txBox="1"/>
      </xdr:nvSpPr>
      <xdr:spPr>
        <a:xfrm>
          <a:off x="16726807" y="8436430"/>
          <a:ext cx="663122" cy="19049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400" b="1" i="0">
              <a:latin typeface="Cambria Math" panose="02040503050406030204" pitchFamily="18" charset="0"/>
            </a:rPr>
            <a:t>𝑳,(𝒎)</a:t>
          </a:r>
          <a:endParaRPr lang="ru-RU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446314</xdr:colOff>
      <xdr:row>22</xdr:row>
      <xdr:rowOff>157843</xdr:rowOff>
    </xdr:from>
    <xdr:to>
      <xdr:col>26</xdr:col>
      <xdr:colOff>163286</xdr:colOff>
      <xdr:row>45</xdr:row>
      <xdr:rowOff>163286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288471</xdr:colOff>
      <xdr:row>22</xdr:row>
      <xdr:rowOff>82323</xdr:rowOff>
    </xdr:from>
    <xdr:ext cx="619913" cy="281808"/>
    <xdr:sp macro="" textlink="">
      <xdr:nvSpPr>
        <xdr:cNvPr id="9" name="TextBox 8"/>
        <xdr:cNvSpPr txBox="1"/>
      </xdr:nvSpPr>
      <xdr:spPr>
        <a:xfrm>
          <a:off x="8656864" y="4273323"/>
          <a:ext cx="619913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800" b="0" i="0">
              <a:latin typeface="Cambria Math" panose="02040503050406030204" pitchFamily="18" charset="0"/>
            </a:rPr>
            <a:t>𝑇, (𝐶)</a:t>
          </a:r>
          <a:endParaRPr lang="ru-RU" sz="1100"/>
        </a:p>
      </xdr:txBody>
    </xdr:sp>
    <xdr:clientData/>
  </xdr:oneCellAnchor>
  <xdr:oneCellAnchor>
    <xdr:from>
      <xdr:col>24</xdr:col>
      <xdr:colOff>346981</xdr:colOff>
      <xdr:row>42</xdr:row>
      <xdr:rowOff>42862</xdr:rowOff>
    </xdr:from>
    <xdr:ext cx="573747" cy="250453"/>
    <xdr:sp macro="" textlink="">
      <xdr:nvSpPr>
        <xdr:cNvPr id="10" name="TextBox 9"/>
        <xdr:cNvSpPr txBox="1"/>
      </xdr:nvSpPr>
      <xdr:spPr>
        <a:xfrm>
          <a:off x="15450910" y="8043862"/>
          <a:ext cx="573747" cy="25045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600" b="0" i="0">
              <a:latin typeface="Cambria Math" panose="02040503050406030204" pitchFamily="18" charset="0"/>
            </a:rPr>
            <a:t>L, (m)</a:t>
          </a:r>
          <a:endParaRPr lang="ru-RU" sz="1600" i="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den/Downloads/&#1053;&#1072;&#1091;&#1084;&#1086;&#1074;%20&#1052;&#1080;&#1093;&#1072;&#1080;&#1083;%20&#1056;&#1077;&#1096;&#1077;&#1085;&#1080;&#1077;%20&#1091;&#1088;&#1072;&#1074;&#1085;&#1077;&#1085;&#1080;&#1103;%20&#1090;&#1077;&#1087;&#1083;&#1086;&#1087;&#1088;&#1086;&#1074;&#1086;&#1076;&#1085;&#1086;&#1089;&#1090;&#1080;%20&#1074;%20&#1086;&#1076;&#1085;&#1086;&#1084;&#1077;&#1088;&#1085;&#1086;&#1081;%20&#1087;&#1086;&#1089;&#1090;&#1072;&#1085;&#1086;&#1074;&#1082;&#1077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den/Downloads/MKR_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1 рода"/>
      <sheetName val=" 2 род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291.62254159925021</v>
          </cell>
          <cell r="H13">
            <v>283.28248182349404</v>
          </cell>
          <cell r="I13">
            <v>274.94242204773786</v>
          </cell>
          <cell r="J13">
            <v>266.71292127510145</v>
          </cell>
          <cell r="K13">
            <v>258.48342050246504</v>
          </cell>
          <cell r="L13">
            <v>250.43280044487551</v>
          </cell>
          <cell r="M13">
            <v>242.38218038728598</v>
          </cell>
          <cell r="N13">
            <v>234.57093492882029</v>
          </cell>
          <cell r="O13">
            <v>226.7596894703546</v>
          </cell>
          <cell r="P13">
            <v>219.23783932797062</v>
          </cell>
          <cell r="Q13">
            <v>211.71598918558661</v>
          </cell>
          <cell r="R13">
            <v>204.52089625978249</v>
          </cell>
          <cell r="S13">
            <v>197.32580333397826</v>
          </cell>
          <cell r="T13">
            <v>190.48054018697056</v>
          </cell>
          <cell r="U13">
            <v>183.63527703996272</v>
          </cell>
          <cell r="V13">
            <v>177.14762235277331</v>
          </cell>
          <cell r="W13">
            <v>170.65996766558379</v>
          </cell>
          <cell r="X13">
            <v>164.52207091361547</v>
          </cell>
          <cell r="Y13">
            <v>158.38417416164702</v>
          </cell>
          <cell r="Z13">
            <v>152.5729033615147</v>
          </cell>
          <cell r="AA13">
            <v>146.7616325613823</v>
          </cell>
          <cell r="AB13">
            <v>141.23958908828615</v>
          </cell>
          <cell r="AC13">
            <v>135.71754561518986</v>
          </cell>
          <cell r="AD13">
            <v>130.43470107470233</v>
          </cell>
          <cell r="AE13">
            <v>125.15185653421467</v>
          </cell>
          <cell r="AF13">
            <v>120.0477397391255</v>
          </cell>
          <cell r="AG13">
            <v>114.94362294403626</v>
          </cell>
          <cell r="AH13">
            <v>109.94996132912691</v>
          </cell>
          <cell r="AI13">
            <v>104.95629971421751</v>
          </cell>
          <cell r="AJ13">
            <v>100</v>
          </cell>
        </row>
      </sheetData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299.76152995395427</v>
          </cell>
          <cell r="G13">
            <v>293.09486328728758</v>
          </cell>
          <cell r="H13">
            <v>286.42887258987537</v>
          </cell>
          <cell r="I13">
            <v>279.76355594560931</v>
          </cell>
          <cell r="J13">
            <v>273.09890952770422</v>
          </cell>
          <cell r="K13">
            <v>266.43492760954553</v>
          </cell>
          <cell r="L13">
            <v>259.77160258092186</v>
          </cell>
          <cell r="M13">
            <v>253.1089249695971</v>
          </cell>
          <cell r="N13">
            <v>246.44688346816059</v>
          </cell>
          <cell r="O13">
            <v>239.78546496607885</v>
          </cell>
          <cell r="P13">
            <v>233.12465458685932</v>
          </cell>
          <cell r="Q13">
            <v>226.46443573021875</v>
          </cell>
          <cell r="R13">
            <v>219.80479011913943</v>
          </cell>
          <cell r="S13">
            <v>213.14569785167603</v>
          </cell>
          <cell r="T13">
            <v>206.4871374573716</v>
          </cell>
          <cell r="U13">
            <v>199.82908595811583</v>
          </cell>
          <cell r="V13">
            <v>193.17151893328128</v>
          </cell>
          <cell r="W13">
            <v>186.51441058894395</v>
          </cell>
          <cell r="X13">
            <v>179.85773383100135</v>
          </cell>
          <cell r="Y13">
            <v>173.20146034197114</v>
          </cell>
          <cell r="Z13">
            <v>166.54556066126284</v>
          </cell>
          <cell r="AA13">
            <v>159.89000426868424</v>
          </cell>
          <cell r="AB13">
            <v>153.23475967095703</v>
          </cell>
          <cell r="AC13">
            <v>146.57979449098519</v>
          </cell>
          <cell r="AD13">
            <v>139.925075559634</v>
          </cell>
          <cell r="AE13">
            <v>133.27056900974901</v>
          </cell>
          <cell r="AF13">
            <v>126.61624037215859</v>
          </cell>
          <cell r="AG13">
            <v>119.96205467337839</v>
          </cell>
          <cell r="AH13">
            <v>113.30797653474929</v>
          </cell>
          <cell r="AI13">
            <v>106.65397027272058</v>
          </cell>
          <cell r="AJ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293.32310708172031</v>
          </cell>
          <cell r="H13">
            <v>286.64621416344067</v>
          </cell>
          <cell r="I13">
            <v>279.96976818142753</v>
          </cell>
          <cell r="J13">
            <v>273.29332219941438</v>
          </cell>
          <cell r="K13">
            <v>266.61775055667476</v>
          </cell>
          <cell r="L13">
            <v>259.94217891393515</v>
          </cell>
          <cell r="M13">
            <v>253.26787080065432</v>
          </cell>
          <cell r="N13">
            <v>246.59356268737349</v>
          </cell>
          <cell r="O13">
            <v>239.9208520714362</v>
          </cell>
          <cell r="P13">
            <v>233.24814145549891</v>
          </cell>
          <cell r="Q13">
            <v>226.57729248649036</v>
          </cell>
          <cell r="R13">
            <v>219.90644351748179</v>
          </cell>
          <cell r="S13">
            <v>213.23763898208321</v>
          </cell>
          <cell r="T13">
            <v>206.56883444668463</v>
          </cell>
          <cell r="U13">
            <v>199.9021677800182</v>
          </cell>
          <cell r="V13">
            <v>193.2355011133518</v>
          </cell>
          <cell r="W13">
            <v>186.57097231541749</v>
          </cell>
          <cell r="X13">
            <v>179.90644351748318</v>
          </cell>
          <cell r="Y13">
            <v>173.24395915315873</v>
          </cell>
          <cell r="Z13">
            <v>166.58147478883427</v>
          </cell>
          <cell r="AA13">
            <v>159.92085207143839</v>
          </cell>
          <cell r="AB13">
            <v>153.26022935404251</v>
          </cell>
          <cell r="AC13">
            <v>146.60120413398997</v>
          </cell>
          <cell r="AD13">
            <v>139.94217891393743</v>
          </cell>
          <cell r="AE13">
            <v>133.28441722334344</v>
          </cell>
          <cell r="AF13">
            <v>126.62665553274945</v>
          </cell>
          <cell r="AG13">
            <v>119.96976818142888</v>
          </cell>
          <cell r="AH13">
            <v>113.3128808301083</v>
          </cell>
          <cell r="AI13">
            <v>106.65644041505415</v>
          </cell>
          <cell r="AJ13">
            <v>100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AJ32"/>
  <sheetViews>
    <sheetView tabSelected="1" zoomScale="70" zoomScaleNormal="70" workbookViewId="0">
      <selection activeCell="G42" sqref="G42"/>
    </sheetView>
  </sheetViews>
  <sheetFormatPr defaultRowHeight="15"/>
  <cols>
    <col min="2" max="3" width="12.5703125" customWidth="1"/>
    <col min="4" max="4" width="11.85546875" customWidth="1"/>
    <col min="6" max="38" width="10.140625" customWidth="1"/>
  </cols>
  <sheetData>
    <row r="3" spans="1:36">
      <c r="B3" s="1" t="s">
        <v>0</v>
      </c>
      <c r="C3" s="1">
        <v>0.1</v>
      </c>
    </row>
    <row r="4" spans="1:36">
      <c r="B4" s="1" t="s">
        <v>1</v>
      </c>
      <c r="C4" s="2">
        <f>C3/30</f>
        <v>3.3333333333333335E-3</v>
      </c>
    </row>
    <row r="5" spans="1:36">
      <c r="B5" s="1" t="s">
        <v>2</v>
      </c>
      <c r="C5" s="2">
        <f>(C9*C8*C4^2)/(2*C10)</f>
        <v>0.4333333333333334</v>
      </c>
    </row>
    <row r="6" spans="1:36">
      <c r="B6" s="1" t="s">
        <v>3</v>
      </c>
      <c r="C6" s="1">
        <v>500</v>
      </c>
      <c r="D6" s="6">
        <v>500.43333333333334</v>
      </c>
    </row>
    <row r="7" spans="1:36">
      <c r="A7" s="3"/>
      <c r="B7" s="4"/>
      <c r="C7" s="4"/>
      <c r="D7" s="3"/>
    </row>
    <row r="8" spans="1:36">
      <c r="B8" s="1" t="s">
        <v>4</v>
      </c>
      <c r="C8" s="1">
        <v>460</v>
      </c>
    </row>
    <row r="9" spans="1:36">
      <c r="B9" s="1" t="s">
        <v>5</v>
      </c>
      <c r="C9" s="1">
        <v>7800</v>
      </c>
    </row>
    <row r="10" spans="1:36">
      <c r="B10" s="1" t="s">
        <v>6</v>
      </c>
      <c r="C10" s="1">
        <v>46</v>
      </c>
    </row>
    <row r="11" spans="1:36">
      <c r="A11" s="3"/>
      <c r="B11" s="4"/>
      <c r="C11" s="4"/>
      <c r="D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>
      <c r="B12" s="1" t="s">
        <v>7</v>
      </c>
      <c r="C12" s="1">
        <v>300</v>
      </c>
      <c r="E12" t="s">
        <v>0</v>
      </c>
      <c r="F12" s="5">
        <v>0</v>
      </c>
      <c r="G12" s="5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>
      <c r="B13" s="1" t="s">
        <v>8</v>
      </c>
      <c r="C13" s="1">
        <v>100</v>
      </c>
      <c r="E13" t="s">
        <v>9</v>
      </c>
      <c r="F13" s="6">
        <f>C12</f>
        <v>300</v>
      </c>
      <c r="G13" s="6">
        <v>291.62254159925021</v>
      </c>
      <c r="H13" s="6">
        <v>283.28248182349404</v>
      </c>
      <c r="I13" s="6">
        <v>274.94242204773786</v>
      </c>
      <c r="J13" s="6">
        <v>266.71292127510145</v>
      </c>
      <c r="K13" s="6">
        <v>258.48342050246504</v>
      </c>
      <c r="L13" s="6">
        <v>250.43280044487551</v>
      </c>
      <c r="M13" s="6">
        <v>242.38218038728598</v>
      </c>
      <c r="N13" s="6">
        <v>234.57093492882029</v>
      </c>
      <c r="O13" s="6">
        <v>226.7596894703546</v>
      </c>
      <c r="P13" s="6">
        <v>219.23783932797062</v>
      </c>
      <c r="Q13" s="6">
        <v>211.71598918558661</v>
      </c>
      <c r="R13" s="6">
        <v>204.52089625978249</v>
      </c>
      <c r="S13" s="6">
        <v>197.32580333397826</v>
      </c>
      <c r="T13" s="6">
        <v>190.48054018697056</v>
      </c>
      <c r="U13" s="6">
        <v>183.63527703996272</v>
      </c>
      <c r="V13" s="6">
        <v>177.14762235277331</v>
      </c>
      <c r="W13" s="6">
        <v>170.65996766558379</v>
      </c>
      <c r="X13" s="6">
        <v>164.52207091361547</v>
      </c>
      <c r="Y13" s="6">
        <v>158.38417416164702</v>
      </c>
      <c r="Z13" s="6">
        <v>152.5729033615147</v>
      </c>
      <c r="AA13" s="6">
        <v>146.7616325613823</v>
      </c>
      <c r="AB13" s="6">
        <v>141.23958908828615</v>
      </c>
      <c r="AC13" s="6">
        <v>135.71754561518986</v>
      </c>
      <c r="AD13" s="6">
        <v>130.43470107470233</v>
      </c>
      <c r="AE13" s="6">
        <v>125.15185653421467</v>
      </c>
      <c r="AF13" s="6">
        <v>120.0477397391255</v>
      </c>
      <c r="AG13" s="6">
        <v>114.94362294403626</v>
      </c>
      <c r="AH13" s="6">
        <v>109.94996132912691</v>
      </c>
      <c r="AI13" s="6">
        <v>104.95629971421751</v>
      </c>
      <c r="AJ13" s="6">
        <f>C13</f>
        <v>100</v>
      </c>
    </row>
    <row r="15" spans="1:36">
      <c r="E15" t="s">
        <v>10</v>
      </c>
      <c r="G15" s="6">
        <f>G13+(($C$10*$C$5)/($C$9*$C$8))*((H13-2*G13+F13)/($C$4^2))</f>
        <v>291.64124091174699</v>
      </c>
      <c r="H15" s="6">
        <f t="shared" ref="H15:AI15" si="1">H13+(($C$10*$C$5)/($C$9*$C$8))*((I13-2*H13+G13)/($C$4^2))</f>
        <v>283.28248182349404</v>
      </c>
      <c r="I15" s="6">
        <f t="shared" si="1"/>
        <v>274.99770154929774</v>
      </c>
      <c r="J15" s="6">
        <f t="shared" si="1"/>
        <v>266.71292127510145</v>
      </c>
      <c r="K15" s="6">
        <f t="shared" si="1"/>
        <v>258.57286085998851</v>
      </c>
      <c r="L15" s="6">
        <f t="shared" si="1"/>
        <v>250.43280044487551</v>
      </c>
      <c r="M15" s="6">
        <f t="shared" si="1"/>
        <v>242.5018676868479</v>
      </c>
      <c r="N15" s="6">
        <f t="shared" si="1"/>
        <v>234.57093492882029</v>
      </c>
      <c r="O15" s="6">
        <f t="shared" si="1"/>
        <v>226.90438712839546</v>
      </c>
      <c r="P15" s="6">
        <f t="shared" si="1"/>
        <v>219.23783932797062</v>
      </c>
      <c r="Q15" s="6">
        <f t="shared" si="1"/>
        <v>211.87936779387655</v>
      </c>
      <c r="R15" s="6">
        <f t="shared" si="1"/>
        <v>204.52089625978243</v>
      </c>
      <c r="S15" s="6">
        <f t="shared" si="1"/>
        <v>197.50071822337651</v>
      </c>
      <c r="T15" s="6">
        <f t="shared" si="1"/>
        <v>190.48054018697047</v>
      </c>
      <c r="U15" s="6">
        <f t="shared" si="1"/>
        <v>183.81408126987193</v>
      </c>
      <c r="V15" s="6">
        <f t="shared" si="1"/>
        <v>177.14762235277325</v>
      </c>
      <c r="W15" s="6">
        <f t="shared" si="1"/>
        <v>170.83484663319439</v>
      </c>
      <c r="X15" s="6">
        <f t="shared" si="1"/>
        <v>164.52207091361541</v>
      </c>
      <c r="Y15" s="6">
        <f t="shared" si="1"/>
        <v>158.5474871375651</v>
      </c>
      <c r="Z15" s="6">
        <f t="shared" si="1"/>
        <v>152.57290336151465</v>
      </c>
      <c r="AA15" s="6">
        <f t="shared" si="1"/>
        <v>146.90624622490043</v>
      </c>
      <c r="AB15" s="6">
        <f t="shared" si="1"/>
        <v>141.2395890882861</v>
      </c>
      <c r="AC15" s="6">
        <f t="shared" si="1"/>
        <v>135.83714508149424</v>
      </c>
      <c r="AD15" s="6">
        <f t="shared" si="1"/>
        <v>130.43470107470228</v>
      </c>
      <c r="AE15" s="6">
        <f t="shared" si="1"/>
        <v>125.24122040691391</v>
      </c>
      <c r="AF15" s="6">
        <f t="shared" si="1"/>
        <v>120.04773973912546</v>
      </c>
      <c r="AG15" s="6">
        <f t="shared" si="1"/>
        <v>114.99885053412621</v>
      </c>
      <c r="AH15" s="6">
        <f t="shared" si="1"/>
        <v>109.94996132912689</v>
      </c>
      <c r="AI15" s="6">
        <f t="shared" si="1"/>
        <v>104.97498066456345</v>
      </c>
    </row>
    <row r="32" spans="28:28" ht="18.75">
      <c r="AB32" s="7"/>
    </row>
  </sheetData>
  <conditionalFormatting sqref="F13:AJ13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J23"/>
  <sheetViews>
    <sheetView zoomScale="70" zoomScaleNormal="70" workbookViewId="0">
      <selection activeCell="AB39" sqref="AB39"/>
    </sheetView>
  </sheetViews>
  <sheetFormatPr defaultRowHeight="15"/>
  <cols>
    <col min="2" max="3" width="12.28515625" customWidth="1"/>
    <col min="4" max="4" width="9.140625" customWidth="1"/>
    <col min="6" max="36" width="10.140625" customWidth="1"/>
  </cols>
  <sheetData>
    <row r="1" spans="1:36" ht="17.100000000000001" customHeight="1"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</row>
    <row r="2" spans="1:36" ht="17.100000000000001" customHeight="1"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</row>
    <row r="3" spans="1:36" ht="17.100000000000001" customHeight="1">
      <c r="B3" s="1" t="s">
        <v>0</v>
      </c>
      <c r="C3" s="1">
        <v>0.1</v>
      </c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</row>
    <row r="4" spans="1:36" ht="17.100000000000001" customHeight="1">
      <c r="B4" s="1" t="s">
        <v>1</v>
      </c>
      <c r="C4" s="1">
        <f>C3/30</f>
        <v>3.3333333333333335E-3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</row>
    <row r="5" spans="1:36" ht="17.100000000000001" customHeight="1">
      <c r="B5" s="1" t="s">
        <v>2</v>
      </c>
      <c r="C5" s="1">
        <f>(C9*C8*C4^2)/(2*C10)</f>
        <v>0.4333333333333334</v>
      </c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</row>
    <row r="6" spans="1:36" ht="17.100000000000001" customHeight="1">
      <c r="B6" s="1" t="s">
        <v>3</v>
      </c>
      <c r="C6" s="1">
        <v>5000</v>
      </c>
      <c r="D6" s="6">
        <v>5000.2333333333345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</row>
    <row r="7" spans="1:36" ht="17.100000000000001" customHeight="1">
      <c r="A7" s="3"/>
      <c r="B7" s="4"/>
      <c r="C7" s="4"/>
      <c r="D7" s="3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17.100000000000001" customHeight="1">
      <c r="B8" s="1" t="s">
        <v>4</v>
      </c>
      <c r="C8" s="1">
        <v>460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</row>
    <row r="9" spans="1:36" ht="17.100000000000001" customHeight="1">
      <c r="B9" s="1" t="s">
        <v>5</v>
      </c>
      <c r="C9" s="1">
        <v>7800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</row>
    <row r="10" spans="1:36" ht="17.100000000000001" customHeight="1">
      <c r="B10" s="1" t="s">
        <v>12</v>
      </c>
      <c r="C10" s="1">
        <v>46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</row>
    <row r="11" spans="1:36" ht="17.100000000000001" customHeight="1">
      <c r="A11" s="3"/>
      <c r="B11" s="4"/>
      <c r="C11" s="4"/>
      <c r="D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ht="17.100000000000001" customHeight="1">
      <c r="B12" s="1" t="s">
        <v>7</v>
      </c>
      <c r="C12" s="1">
        <v>92000</v>
      </c>
      <c r="E12" t="s">
        <v>0</v>
      </c>
      <c r="F12" s="1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1:36" ht="17.100000000000001" customHeight="1">
      <c r="B13" s="1" t="s">
        <v>8</v>
      </c>
      <c r="C13" s="1">
        <v>100</v>
      </c>
      <c r="E13" t="s">
        <v>9</v>
      </c>
      <c r="F13" s="6">
        <f>(F16/C10)*C4+G13</f>
        <v>299.99997763108735</v>
      </c>
      <c r="G13" s="6">
        <v>293.33331096442066</v>
      </c>
      <c r="H13" s="6">
        <v>286.6666443611611</v>
      </c>
      <c r="I13" s="6">
        <v>279.99997782112894</v>
      </c>
      <c r="J13" s="6">
        <v>273.33331134396514</v>
      </c>
      <c r="K13" s="6">
        <v>266.66664492913264</v>
      </c>
      <c r="L13" s="6">
        <v>259.99997857591751</v>
      </c>
      <c r="M13" s="6">
        <v>253.3333122834313</v>
      </c>
      <c r="N13" s="6">
        <v>246.66664605061328</v>
      </c>
      <c r="O13" s="6">
        <v>239.99997987623377</v>
      </c>
      <c r="P13" s="6">
        <v>233.33331375889719</v>
      </c>
      <c r="Q13" s="6">
        <v>226.66664769704656</v>
      </c>
      <c r="R13" s="6">
        <v>219.9999816889673</v>
      </c>
      <c r="S13" s="6">
        <v>213.33331573279273</v>
      </c>
      <c r="T13" s="6">
        <v>206.66664982650872</v>
      </c>
      <c r="U13" s="6">
        <v>199.99998396796005</v>
      </c>
      <c r="V13" s="6">
        <v>193.33331815485587</v>
      </c>
      <c r="W13" s="6">
        <v>186.6666523847768</v>
      </c>
      <c r="X13" s="6">
        <v>179.99998665518126</v>
      </c>
      <c r="Y13" s="6">
        <v>173.33332096341309</v>
      </c>
      <c r="Z13" s="6">
        <v>166.66665530670878</v>
      </c>
      <c r="AA13" s="6">
        <v>159.9999896822055</v>
      </c>
      <c r="AB13" s="6">
        <v>153.33332408694912</v>
      </c>
      <c r="AC13" s="6">
        <v>146.66665851790265</v>
      </c>
      <c r="AD13" s="6">
        <v>139.99999297195473</v>
      </c>
      <c r="AE13" s="6">
        <v>133.33332744592857</v>
      </c>
      <c r="AF13" s="6">
        <v>126.66666193659087</v>
      </c>
      <c r="AG13" s="6">
        <v>119.99999644066111</v>
      </c>
      <c r="AH13" s="6">
        <v>113.3333309548207</v>
      </c>
      <c r="AI13" s="6">
        <v>106.66666547572241</v>
      </c>
      <c r="AJ13" s="6">
        <f>C13</f>
        <v>100</v>
      </c>
    </row>
    <row r="14" spans="1:36" ht="17.100000000000001" customHeight="1"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</row>
    <row r="15" spans="1:36" ht="17.100000000000001" customHeight="1">
      <c r="E15" t="s">
        <v>10</v>
      </c>
      <c r="F15" s="6"/>
      <c r="G15" s="6">
        <f>G13+(($C$10*$C$5)/($C$9*$C$8))*((H13-2*G13+F13)/($C$4^2))</f>
        <v>293.33331099612423</v>
      </c>
      <c r="H15" s="6">
        <f t="shared" ref="H15:AI15" si="1">H13+(($C$10*$C$5)/($C$9*$C$8))*((I13-2*H13+G13)/($C$4^2))</f>
        <v>286.6666443927748</v>
      </c>
      <c r="I15" s="6">
        <f t="shared" si="1"/>
        <v>279.99997785256312</v>
      </c>
      <c r="J15" s="6">
        <f t="shared" si="1"/>
        <v>273.33331137513079</v>
      </c>
      <c r="K15" s="6">
        <f t="shared" si="1"/>
        <v>266.66664495994132</v>
      </c>
      <c r="L15" s="6">
        <f t="shared" si="1"/>
        <v>259.99997860628196</v>
      </c>
      <c r="M15" s="6">
        <f t="shared" si="1"/>
        <v>253.3333123132654</v>
      </c>
      <c r="N15" s="6">
        <f t="shared" si="1"/>
        <v>246.66664607983253</v>
      </c>
      <c r="O15" s="6">
        <f t="shared" si="1"/>
        <v>239.99997990475524</v>
      </c>
      <c r="P15" s="6">
        <f t="shared" si="1"/>
        <v>233.33331378664016</v>
      </c>
      <c r="Q15" s="6">
        <f t="shared" si="1"/>
        <v>226.66664772393224</v>
      </c>
      <c r="R15" s="6">
        <f t="shared" si="1"/>
        <v>219.99998171491964</v>
      </c>
      <c r="S15" s="6">
        <f t="shared" si="1"/>
        <v>213.33331575773801</v>
      </c>
      <c r="T15" s="6">
        <f t="shared" si="1"/>
        <v>206.66664985037639</v>
      </c>
      <c r="U15" s="6">
        <f t="shared" si="1"/>
        <v>199.9999839906823</v>
      </c>
      <c r="V15" s="6">
        <f t="shared" si="1"/>
        <v>193.33331817636844</v>
      </c>
      <c r="W15" s="6">
        <f t="shared" si="1"/>
        <v>186.66665240501857</v>
      </c>
      <c r="X15" s="6">
        <f t="shared" si="1"/>
        <v>179.99998667409494</v>
      </c>
      <c r="Y15" s="6">
        <f t="shared" si="1"/>
        <v>173.33332098094502</v>
      </c>
      <c r="Z15" s="6">
        <f t="shared" si="1"/>
        <v>166.66665532280928</v>
      </c>
      <c r="AA15" s="6">
        <f t="shared" si="1"/>
        <v>159.99998969682895</v>
      </c>
      <c r="AB15" s="6">
        <f t="shared" si="1"/>
        <v>153.33332410005409</v>
      </c>
      <c r="AC15" s="6">
        <f t="shared" si="1"/>
        <v>146.66665852945192</v>
      </c>
      <c r="AD15" s="6">
        <f t="shared" si="1"/>
        <v>139.99999298191563</v>
      </c>
      <c r="AE15" s="6">
        <f t="shared" si="1"/>
        <v>133.33332745427279</v>
      </c>
      <c r="AF15" s="6">
        <f t="shared" si="1"/>
        <v>126.66666194329484</v>
      </c>
      <c r="AG15" s="6">
        <f t="shared" si="1"/>
        <v>119.99999644570579</v>
      </c>
      <c r="AH15" s="6">
        <f t="shared" si="1"/>
        <v>113.33333095819177</v>
      </c>
      <c r="AI15" s="6">
        <f t="shared" si="1"/>
        <v>106.66666547741035</v>
      </c>
      <c r="AJ15" s="6"/>
    </row>
    <row r="16" spans="1:36" ht="17.100000000000001" customHeight="1">
      <c r="E16" t="s">
        <v>11</v>
      </c>
      <c r="F16" s="6">
        <f>C12</f>
        <v>92000</v>
      </c>
      <c r="G16" s="6">
        <f>-$C$10*((G13-F13)/$C$4)</f>
        <v>92000.000000000247</v>
      </c>
      <c r="H16" s="6">
        <f>-$C$10*((H13-G13)/$C$4)</f>
        <v>91999.999124981885</v>
      </c>
      <c r="I16" s="6">
        <f t="shared" ref="I16:AI16" si="2">-$C$10*((I13-H13)/$C$4)</f>
        <v>91999.998252443896</v>
      </c>
      <c r="J16" s="6">
        <f t="shared" si="2"/>
        <v>91999.997384860442</v>
      </c>
      <c r="K16" s="6">
        <f t="shared" si="2"/>
        <v>91999.996524688366</v>
      </c>
      <c r="L16" s="6">
        <f t="shared" si="2"/>
        <v>91999.995674368853</v>
      </c>
      <c r="M16" s="6">
        <f t="shared" si="2"/>
        <v>91999.994836309721</v>
      </c>
      <c r="N16" s="6">
        <f t="shared" si="2"/>
        <v>91999.994012888623</v>
      </c>
      <c r="O16" s="6">
        <f t="shared" si="2"/>
        <v>91999.993206437299</v>
      </c>
      <c r="P16" s="6">
        <f t="shared" si="2"/>
        <v>91999.992419244736</v>
      </c>
      <c r="Q16" s="6">
        <f t="shared" si="2"/>
        <v>91999.991653538746</v>
      </c>
      <c r="R16" s="6">
        <f t="shared" si="2"/>
        <v>91999.990911493791</v>
      </c>
      <c r="S16" s="6">
        <f t="shared" si="2"/>
        <v>91999.990195209044</v>
      </c>
      <c r="T16" s="6">
        <f t="shared" si="2"/>
        <v>91999.989506719328</v>
      </c>
      <c r="U16" s="6">
        <f t="shared" si="2"/>
        <v>91999.988847971617</v>
      </c>
      <c r="V16" s="6">
        <f t="shared" si="2"/>
        <v>91999.988220837593</v>
      </c>
      <c r="W16" s="6">
        <f t="shared" si="2"/>
        <v>91999.987627091265</v>
      </c>
      <c r="X16" s="6">
        <f t="shared" si="2"/>
        <v>91999.987068418384</v>
      </c>
      <c r="Y16" s="6">
        <f t="shared" si="2"/>
        <v>91999.986546400789</v>
      </c>
      <c r="Z16" s="6">
        <f t="shared" si="2"/>
        <v>91999.986062519471</v>
      </c>
      <c r="AA16" s="6">
        <f t="shared" si="2"/>
        <v>91999.985618145278</v>
      </c>
      <c r="AB16" s="6">
        <f t="shared" si="2"/>
        <v>91999.985214537985</v>
      </c>
      <c r="AC16" s="6">
        <f t="shared" si="2"/>
        <v>91999.984852841313</v>
      </c>
      <c r="AD16" s="6">
        <f t="shared" si="2"/>
        <v>91999.984534081304</v>
      </c>
      <c r="AE16" s="6">
        <f t="shared" si="2"/>
        <v>91999.984259160876</v>
      </c>
      <c r="AF16" s="6">
        <f t="shared" si="2"/>
        <v>91999.984028860315</v>
      </c>
      <c r="AG16" s="6">
        <f t="shared" si="2"/>
        <v>91999.98384383072</v>
      </c>
      <c r="AH16" s="6">
        <f t="shared" si="2"/>
        <v>91999.983704597675</v>
      </c>
      <c r="AI16" s="6">
        <f t="shared" si="2"/>
        <v>91999.983611556323</v>
      </c>
      <c r="AJ16" s="6"/>
    </row>
    <row r="17" spans="6:36"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</row>
    <row r="18" spans="6:36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</row>
    <row r="19" spans="6:36"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</row>
    <row r="20" spans="6:36"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</row>
    <row r="21" spans="6:36"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</row>
    <row r="22" spans="6:36"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</row>
    <row r="23" spans="6:36"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</row>
  </sheetData>
  <conditionalFormatting sqref="F13:AJ13">
    <cfRule type="colorScale" priority="1">
      <colorScale>
        <cfvo type="min" val="0"/>
        <cfvo type="percentile" val="50"/>
        <cfvo type="max" val="0"/>
        <color theme="4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 рода </vt:lpstr>
      <vt:lpstr>2 рода</vt:lpstr>
      <vt:lpstr>Лист3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rudenko8007@mail.ru</dc:creator>
  <cp:lastModifiedBy>rudenko8007@mail.ru</cp:lastModifiedBy>
  <dcterms:created xsi:type="dcterms:W3CDTF">2021-03-20T13:28:02Z</dcterms:created>
  <dcterms:modified xsi:type="dcterms:W3CDTF">2021-03-21T11:31:17Z</dcterms:modified>
</cp:coreProperties>
</file>